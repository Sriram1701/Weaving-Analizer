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81FF40B6-93B8-4E94-88A7-ACEAB347E85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I21" i="1"/>
  <c r="I20" i="1"/>
  <c r="H11" i="1"/>
  <c r="H16" i="1" s="1"/>
  <c r="I18" i="1" s="1"/>
  <c r="H10" i="1"/>
  <c r="H15" i="1" s="1"/>
  <c r="F22" i="1"/>
  <c r="F21" i="1"/>
  <c r="F20" i="1"/>
  <c r="E11" i="1"/>
  <c r="E16" i="1" s="1"/>
  <c r="F18" i="1" s="1"/>
  <c r="E10" i="1"/>
  <c r="E15" i="1" s="1"/>
  <c r="F19" i="1" s="1"/>
  <c r="B10" i="1"/>
  <c r="C22" i="1"/>
  <c r="B11" i="1"/>
  <c r="B16" i="1" s="1"/>
  <c r="I19" i="1" l="1"/>
  <c r="I17" i="1"/>
  <c r="H23" i="1" s="1"/>
  <c r="F17" i="1"/>
  <c r="C20" i="1"/>
  <c r="B15" i="1"/>
  <c r="I24" i="1" l="1"/>
  <c r="H25" i="1" s="1"/>
  <c r="E23" i="1"/>
  <c r="C19" i="1"/>
  <c r="E25" i="1" l="1"/>
  <c r="F24" i="1"/>
  <c r="C18" i="1"/>
  <c r="C17" i="1"/>
  <c r="B23" i="1" l="1"/>
  <c r="C24" i="1" l="1"/>
  <c r="B25" i="1" s="1"/>
</calcChain>
</file>

<file path=xl/sharedStrings.xml><?xml version="1.0" encoding="utf-8"?>
<sst xmlns="http://schemas.openxmlformats.org/spreadsheetml/2006/main" count="78" uniqueCount="27">
  <si>
    <t>CONSTRUCTION</t>
  </si>
  <si>
    <t>EPI</t>
  </si>
  <si>
    <t>PPI</t>
  </si>
  <si>
    <t xml:space="preserve">WIDTH </t>
  </si>
  <si>
    <t>REED SPACE</t>
  </si>
  <si>
    <t>PICK RATE</t>
  </si>
  <si>
    <t xml:space="preserve">WARP YARN RATE </t>
  </si>
  <si>
    <t>WEFT YARN RATE</t>
  </si>
  <si>
    <t>SIZING RATE /WARP GRAMS</t>
  </si>
  <si>
    <t>WEAVE</t>
  </si>
  <si>
    <t>WARP CRIMP%</t>
  </si>
  <si>
    <t>WARP GRAMS/MTR</t>
  </si>
  <si>
    <t>WEFT GRAMS/MTR</t>
  </si>
  <si>
    <t>PLAIN</t>
  </si>
  <si>
    <t>TOTAL NO.OF .ENDS</t>
  </si>
  <si>
    <t>WARP COUNT</t>
  </si>
  <si>
    <t>WEFT COUNT</t>
  </si>
  <si>
    <t>PROFIT</t>
  </si>
  <si>
    <t>NET FABRIC VALUE</t>
  </si>
  <si>
    <t>FABRIC COSTING</t>
  </si>
  <si>
    <t>WEFT CRIMP%</t>
  </si>
  <si>
    <t>40*40/92*88-54"</t>
  </si>
  <si>
    <t>WEFT INSERT</t>
  </si>
  <si>
    <t>VALUE LOSS/RATE/KG</t>
  </si>
  <si>
    <t>TOTAL VALUE</t>
  </si>
  <si>
    <t>TRANSPORT&amp;CHECKING CHARG</t>
  </si>
  <si>
    <t>40*40/100*92-66"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</si>
</sst>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topLeftCell="A7" workbookViewId="0">
      <selection activeCell="K9" sqref="K9"/>
    </sheetView>
  </sheetViews>
  <sheetFormatPr defaultRowHeight="15" x14ac:dyDescent="0.25"/>
  <cols>
    <col min="1" max="1" width="28.85546875" customWidth="1"/>
    <col min="2" max="2" width="12" bestFit="1" customWidth="1"/>
    <col min="3" max="3" width="10.5703125" customWidth="1"/>
    <col min="4" max="4" width="27.42578125" customWidth="1"/>
    <col min="5" max="5" width="12.85546875" customWidth="1"/>
    <col min="6" max="6" width="11.7109375" customWidth="1"/>
    <col min="7" max="7" width="28.42578125" customWidth="1"/>
    <col min="8" max="8" width="15.5703125" customWidth="1"/>
    <col min="9" max="9" width="12" customWidth="1"/>
  </cols>
  <sheetData>
    <row r="2" spans="1:9" ht="18.75" x14ac:dyDescent="0.3">
      <c r="A2" s="16" t="s">
        <v>19</v>
      </c>
      <c r="B2" s="16"/>
      <c r="C2" s="16"/>
      <c r="D2" s="16" t="s">
        <v>19</v>
      </c>
      <c r="E2" s="16"/>
      <c r="F2" s="16"/>
      <c r="G2" s="16" t="s">
        <v>19</v>
      </c>
      <c r="H2" s="16"/>
      <c r="I2" s="16"/>
    </row>
    <row r="3" spans="1:9" x14ac:dyDescent="0.25">
      <c r="A3" s="1" t="s">
        <v>0</v>
      </c>
      <c r="B3" s="15" t="s">
        <v>21</v>
      </c>
      <c r="C3" s="15"/>
      <c r="D3" s="1" t="s">
        <v>0</v>
      </c>
      <c r="E3" s="15" t="s">
        <v>26</v>
      </c>
      <c r="F3" s="15"/>
      <c r="G3" s="1" t="s">
        <v>0</v>
      </c>
      <c r="H3" s="15" t="s">
        <v>21</v>
      </c>
      <c r="I3" s="15"/>
    </row>
    <row r="4" spans="1:9" x14ac:dyDescent="0.25">
      <c r="A4" s="1" t="s">
        <v>15</v>
      </c>
      <c r="B4" s="10">
        <v>40</v>
      </c>
      <c r="C4" s="1"/>
      <c r="D4" s="1" t="s">
        <v>15</v>
      </c>
      <c r="E4" s="10">
        <v>40</v>
      </c>
      <c r="F4" s="1"/>
      <c r="G4" s="1" t="s">
        <v>15</v>
      </c>
      <c r="H4" s="10">
        <v>40</v>
      </c>
      <c r="I4" s="1"/>
    </row>
    <row r="5" spans="1:9" x14ac:dyDescent="0.25">
      <c r="A5" s="1" t="s">
        <v>16</v>
      </c>
      <c r="B5" s="7">
        <v>40</v>
      </c>
      <c r="C5" s="1"/>
      <c r="D5" s="1" t="s">
        <v>16</v>
      </c>
      <c r="E5" s="11">
        <v>40</v>
      </c>
      <c r="F5" s="1"/>
      <c r="G5" s="1" t="s">
        <v>16</v>
      </c>
      <c r="H5" s="11">
        <v>40</v>
      </c>
      <c r="I5" s="1"/>
    </row>
    <row r="6" spans="1:9" x14ac:dyDescent="0.25">
      <c r="A6" s="1" t="s">
        <v>1</v>
      </c>
      <c r="B6" s="7">
        <v>92</v>
      </c>
      <c r="C6" s="1"/>
      <c r="D6" s="1" t="s">
        <v>1</v>
      </c>
      <c r="E6" s="11">
        <v>100</v>
      </c>
      <c r="F6" s="1"/>
      <c r="G6" s="1" t="s">
        <v>1</v>
      </c>
      <c r="H6" s="11">
        <v>100</v>
      </c>
      <c r="I6" s="1"/>
    </row>
    <row r="7" spans="1:9" x14ac:dyDescent="0.25">
      <c r="A7" s="1" t="s">
        <v>2</v>
      </c>
      <c r="B7" s="7">
        <v>88</v>
      </c>
      <c r="C7" s="1"/>
      <c r="D7" s="1" t="s">
        <v>2</v>
      </c>
      <c r="E7" s="11">
        <v>92</v>
      </c>
      <c r="F7" s="1"/>
      <c r="G7" s="1" t="s">
        <v>2</v>
      </c>
      <c r="H7" s="11">
        <v>92</v>
      </c>
      <c r="I7" s="1"/>
    </row>
    <row r="8" spans="1:9" x14ac:dyDescent="0.25">
      <c r="A8" s="1" t="s">
        <v>3</v>
      </c>
      <c r="B8" s="7">
        <v>54</v>
      </c>
      <c r="C8" s="1"/>
      <c r="D8" s="1" t="s">
        <v>3</v>
      </c>
      <c r="E8" s="11">
        <v>66</v>
      </c>
      <c r="F8" s="1"/>
      <c r="G8" s="1" t="s">
        <v>3</v>
      </c>
      <c r="H8" s="11">
        <v>66</v>
      </c>
      <c r="I8" s="1"/>
    </row>
    <row r="9" spans="1:9" x14ac:dyDescent="0.25">
      <c r="A9" s="1" t="s">
        <v>9</v>
      </c>
      <c r="B9" s="7" t="s">
        <v>13</v>
      </c>
      <c r="C9" s="1"/>
      <c r="D9" s="1" t="s">
        <v>9</v>
      </c>
      <c r="E9" s="11" t="s">
        <v>13</v>
      </c>
      <c r="F9" s="1"/>
      <c r="G9" s="1" t="s">
        <v>9</v>
      </c>
      <c r="H9" s="11" t="s">
        <v>13</v>
      </c>
      <c r="I9" s="1"/>
    </row>
    <row r="10" spans="1:9" x14ac:dyDescent="0.25">
      <c r="A10" s="1" t="s">
        <v>14</v>
      </c>
      <c r="B10" s="1">
        <f>B6*B8</f>
        <v>4968</v>
      </c>
      <c r="C10" s="1"/>
      <c r="D10" s="1" t="s">
        <v>14</v>
      </c>
      <c r="E10" s="1">
        <f>E6*E8</f>
        <v>6600</v>
      </c>
      <c r="F10" s="1"/>
      <c r="G10" s="1" t="s">
        <v>14</v>
      </c>
      <c r="H10" s="1">
        <f>H6*H8</f>
        <v>6600</v>
      </c>
      <c r="I10" s="1"/>
    </row>
    <row r="11" spans="1:9" x14ac:dyDescent="0.25">
      <c r="A11" s="1" t="s">
        <v>4</v>
      </c>
      <c r="B11" s="2">
        <f>B8+(B8*B14%)+2</f>
        <v>57.08</v>
      </c>
      <c r="C11" s="2"/>
      <c r="D11" s="1" t="s">
        <v>4</v>
      </c>
      <c r="E11" s="2">
        <f>E8+(E8*E14%)+2</f>
        <v>69.319999999999993</v>
      </c>
      <c r="F11" s="2"/>
      <c r="G11" s="1" t="s">
        <v>4</v>
      </c>
      <c r="H11" s="2">
        <f>H8+(H8*H14%)+2</f>
        <v>69.319999999999993</v>
      </c>
      <c r="I11" s="2"/>
    </row>
    <row r="12" spans="1:9" x14ac:dyDescent="0.25">
      <c r="A12" s="1" t="s">
        <v>10</v>
      </c>
      <c r="B12" s="8">
        <v>9</v>
      </c>
      <c r="C12" s="1"/>
      <c r="D12" s="1" t="s">
        <v>10</v>
      </c>
      <c r="E12" s="8">
        <v>14</v>
      </c>
      <c r="F12" s="1"/>
      <c r="G12" s="1" t="s">
        <v>10</v>
      </c>
      <c r="H12" s="8">
        <v>14</v>
      </c>
      <c r="I12" s="1"/>
    </row>
    <row r="13" spans="1:9" x14ac:dyDescent="0.25">
      <c r="A13" s="1" t="s">
        <v>22</v>
      </c>
      <c r="B13" s="8">
        <v>1</v>
      </c>
      <c r="C13" s="1"/>
      <c r="D13" s="1" t="s">
        <v>22</v>
      </c>
      <c r="E13" s="8">
        <v>1</v>
      </c>
      <c r="F13" s="1"/>
      <c r="G13" s="1" t="s">
        <v>22</v>
      </c>
      <c r="H13" s="8">
        <v>1</v>
      </c>
      <c r="I13" s="1"/>
    </row>
    <row r="14" spans="1:9" x14ac:dyDescent="0.25">
      <c r="A14" s="1" t="s">
        <v>20</v>
      </c>
      <c r="B14" s="8">
        <v>2</v>
      </c>
      <c r="C14" s="1"/>
      <c r="D14" s="1" t="s">
        <v>20</v>
      </c>
      <c r="E14" s="8">
        <v>2</v>
      </c>
      <c r="F14" s="1"/>
      <c r="G14" s="1" t="s">
        <v>20</v>
      </c>
      <c r="H14" s="8">
        <v>2</v>
      </c>
      <c r="I14" s="1"/>
    </row>
    <row r="15" spans="1:9" x14ac:dyDescent="0.25">
      <c r="A15" s="1" t="s">
        <v>11</v>
      </c>
      <c r="B15" s="12">
        <f>((B10*0.00059)/B4)/((100-B12)/100)</f>
        <v>8.0525274725274723E-2</v>
      </c>
      <c r="C15" s="1"/>
      <c r="D15" s="1" t="s">
        <v>11</v>
      </c>
      <c r="E15" s="12">
        <f>((E10*0.00059)/E4)/((100-E12)/100)</f>
        <v>0.11319767441860466</v>
      </c>
      <c r="F15" s="1"/>
      <c r="G15" s="1" t="s">
        <v>11</v>
      </c>
      <c r="H15" s="12">
        <f>((H10*0.00059)/H4)/((100-H12)/100)</f>
        <v>0.11319767441860466</v>
      </c>
      <c r="I15" s="1"/>
    </row>
    <row r="16" spans="1:9" x14ac:dyDescent="0.25">
      <c r="A16" s="1" t="s">
        <v>12</v>
      </c>
      <c r="B16" s="12">
        <f>(B11*B7*B13/1693.65)/B5</f>
        <v>7.4145189383875057E-2</v>
      </c>
      <c r="C16" s="1"/>
      <c r="D16" s="1" t="s">
        <v>12</v>
      </c>
      <c r="E16" s="12">
        <f>(E11*E7*E13/1693.65)/E5</f>
        <v>9.4137513653942656E-2</v>
      </c>
      <c r="F16" s="1"/>
      <c r="G16" s="1" t="s">
        <v>12</v>
      </c>
      <c r="H16" s="12">
        <f>(H11*H7*H13/1693.65)/H5</f>
        <v>9.4137513653942656E-2</v>
      </c>
      <c r="I16" s="1"/>
    </row>
    <row r="17" spans="1:9" x14ac:dyDescent="0.25">
      <c r="A17" s="1" t="s">
        <v>6</v>
      </c>
      <c r="B17" s="7">
        <v>372.5</v>
      </c>
      <c r="C17" s="13">
        <f>B17*B15</f>
        <v>29.995664835164835</v>
      </c>
      <c r="D17" s="1" t="s">
        <v>6</v>
      </c>
      <c r="E17" s="11">
        <v>372.5</v>
      </c>
      <c r="F17" s="13">
        <f>E17*E15</f>
        <v>42.16613372093024</v>
      </c>
      <c r="G17" s="1" t="s">
        <v>6</v>
      </c>
      <c r="H17" s="11">
        <v>372.5</v>
      </c>
      <c r="I17" s="13">
        <f>H17*H15</f>
        <v>42.16613372093024</v>
      </c>
    </row>
    <row r="18" spans="1:9" x14ac:dyDescent="0.25">
      <c r="A18" s="1" t="s">
        <v>7</v>
      </c>
      <c r="B18" s="7">
        <v>372.5</v>
      </c>
      <c r="C18" s="3">
        <f>B16*B18</f>
        <v>27.619083045493458</v>
      </c>
      <c r="D18" s="1" t="s">
        <v>7</v>
      </c>
      <c r="E18" s="11">
        <v>372.5</v>
      </c>
      <c r="F18" s="3">
        <f>E16*E18</f>
        <v>35.066223836093641</v>
      </c>
      <c r="G18" s="1" t="s">
        <v>7</v>
      </c>
      <c r="H18" s="11">
        <v>372.5</v>
      </c>
      <c r="I18" s="3">
        <f>H16*H18</f>
        <v>35.066223836093641</v>
      </c>
    </row>
    <row r="19" spans="1:9" x14ac:dyDescent="0.25">
      <c r="A19" s="1" t="s">
        <v>8</v>
      </c>
      <c r="B19" s="7">
        <v>32</v>
      </c>
      <c r="C19" s="3">
        <f>B19*B15</f>
        <v>2.5768087912087911</v>
      </c>
      <c r="D19" s="1" t="s">
        <v>8</v>
      </c>
      <c r="E19" s="11">
        <v>26</v>
      </c>
      <c r="F19" s="3">
        <f>E19*E15</f>
        <v>2.9431395348837213</v>
      </c>
      <c r="G19" s="1" t="s">
        <v>8</v>
      </c>
      <c r="H19" s="11">
        <v>26</v>
      </c>
      <c r="I19" s="3">
        <f>H19*H15</f>
        <v>2.9431395348837213</v>
      </c>
    </row>
    <row r="20" spans="1:9" x14ac:dyDescent="0.25">
      <c r="A20" s="1" t="s">
        <v>5</v>
      </c>
      <c r="B20" s="7">
        <v>0.11</v>
      </c>
      <c r="C20" s="1">
        <f>B20*B7</f>
        <v>9.68</v>
      </c>
      <c r="D20" s="1" t="s">
        <v>5</v>
      </c>
      <c r="E20" s="11">
        <v>0.11</v>
      </c>
      <c r="F20" s="1">
        <f>E20*E7</f>
        <v>10.119999999999999</v>
      </c>
      <c r="G20" s="1" t="s">
        <v>5</v>
      </c>
      <c r="H20" s="11">
        <v>0.11</v>
      </c>
      <c r="I20" s="1">
        <f>H20*H7</f>
        <v>10.119999999999999</v>
      </c>
    </row>
    <row r="21" spans="1:9" x14ac:dyDescent="0.25">
      <c r="A21" s="1" t="s">
        <v>25</v>
      </c>
      <c r="B21" s="7">
        <v>1</v>
      </c>
      <c r="C21" s="1">
        <v>1.25</v>
      </c>
      <c r="D21" s="1" t="s">
        <v>25</v>
      </c>
      <c r="E21" s="11">
        <v>1</v>
      </c>
      <c r="F21" s="1">
        <f>E21</f>
        <v>1</v>
      </c>
      <c r="G21" s="1" t="s">
        <v>25</v>
      </c>
      <c r="H21" s="11">
        <v>1</v>
      </c>
      <c r="I21" s="1">
        <f>H21</f>
        <v>1</v>
      </c>
    </row>
    <row r="22" spans="1:9" x14ac:dyDescent="0.25">
      <c r="A22" s="1" t="s">
        <v>23</v>
      </c>
      <c r="B22" s="11">
        <v>1</v>
      </c>
      <c r="C22" s="1">
        <f>B22</f>
        <v>1</v>
      </c>
      <c r="D22" s="1" t="s">
        <v>23</v>
      </c>
      <c r="E22" s="11">
        <v>1</v>
      </c>
      <c r="F22" s="1">
        <f>E22</f>
        <v>1</v>
      </c>
      <c r="G22" s="1" t="s">
        <v>23</v>
      </c>
      <c r="H22" s="11">
        <v>1</v>
      </c>
      <c r="I22" s="1">
        <f>H22</f>
        <v>1</v>
      </c>
    </row>
    <row r="23" spans="1:9" x14ac:dyDescent="0.25">
      <c r="A23" s="1" t="s">
        <v>24</v>
      </c>
      <c r="B23" s="14">
        <f>SUM(C17:C22)</f>
        <v>72.121556671867083</v>
      </c>
      <c r="C23" s="1"/>
      <c r="D23" s="1" t="s">
        <v>24</v>
      </c>
      <c r="E23" s="14">
        <f>SUM(F17:F22)</f>
        <v>92.295497091907606</v>
      </c>
      <c r="F23" s="1"/>
      <c r="G23" s="1" t="s">
        <v>24</v>
      </c>
      <c r="H23" s="14">
        <f>SUM(I17:I22)</f>
        <v>92.295497091907606</v>
      </c>
      <c r="I23" s="1"/>
    </row>
    <row r="24" spans="1:9" x14ac:dyDescent="0.25">
      <c r="A24" s="1" t="s">
        <v>17</v>
      </c>
      <c r="B24" s="9">
        <v>0.06</v>
      </c>
      <c r="C24" s="6">
        <f>B23*6/100</f>
        <v>4.3272934003120245</v>
      </c>
      <c r="D24" s="1" t="s">
        <v>17</v>
      </c>
      <c r="E24" s="9">
        <v>0.06</v>
      </c>
      <c r="F24" s="5">
        <f>E23*6/100</f>
        <v>5.5377298255144574</v>
      </c>
      <c r="G24" s="1" t="s">
        <v>17</v>
      </c>
      <c r="H24" s="9">
        <v>0.06</v>
      </c>
      <c r="I24" s="5">
        <f>H23*6/100</f>
        <v>5.5377298255144574</v>
      </c>
    </row>
    <row r="25" spans="1:9" x14ac:dyDescent="0.25">
      <c r="A25" s="1" t="s">
        <v>18</v>
      </c>
      <c r="B25" s="6">
        <f>B23+C24</f>
        <v>76.448850072179113</v>
      </c>
      <c r="C25" s="4"/>
      <c r="D25" s="1" t="s">
        <v>18</v>
      </c>
      <c r="E25" s="6">
        <f>E23+F24</f>
        <v>97.833226917422067</v>
      </c>
      <c r="F25" s="4"/>
      <c r="G25" s="1" t="s">
        <v>18</v>
      </c>
      <c r="H25" s="6">
        <f>H23+I24</f>
        <v>97.833226917422067</v>
      </c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</sheetData>
  <mergeCells count="6">
    <mergeCell ref="B3:C3"/>
    <mergeCell ref="A2:C2"/>
    <mergeCell ref="D2:F2"/>
    <mergeCell ref="E3:F3"/>
    <mergeCell ref="G2:I2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2026-08-28T08:05:56Z</dcterms:modified>
</cp:coreProperties>
</file>